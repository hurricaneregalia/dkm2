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proker phbi tahunan" sheetId="1" r:id="rId1"/>
    <sheet name="muharram" sheetId="3" r:id="rId2"/>
    <sheet name="rabiul awal" sheetId="2" r:id="rId3"/>
  </sheets>
  <calcPr calcId="152511"/>
</workbook>
</file>

<file path=xl/calcChain.xml><?xml version="1.0" encoding="utf-8"?>
<calcChain xmlns="http://schemas.openxmlformats.org/spreadsheetml/2006/main">
  <c r="C7" i="1" l="1"/>
  <c r="C18" i="1" s="1"/>
  <c r="C2" i="2" l="1"/>
  <c r="B2" i="2"/>
  <c r="D24" i="1"/>
  <c r="E24" i="1"/>
  <c r="C24" i="1"/>
  <c r="I8" i="2"/>
  <c r="I9" i="2" s="1"/>
  <c r="G4" i="2"/>
  <c r="G5" i="2"/>
  <c r="G6" i="2"/>
  <c r="G7" i="2"/>
  <c r="G8" i="2"/>
  <c r="G9" i="2"/>
  <c r="G3" i="2"/>
  <c r="E8" i="2" l="1"/>
  <c r="E9" i="2" s="1"/>
  <c r="D8" i="2"/>
  <c r="D9" i="2" s="1"/>
  <c r="E4" i="2"/>
  <c r="E5" i="2" s="1"/>
  <c r="D4" i="2"/>
  <c r="D5" i="2" s="1"/>
  <c r="D6" i="2" s="1"/>
</calcChain>
</file>

<file path=xl/sharedStrings.xml><?xml version="1.0" encoding="utf-8"?>
<sst xmlns="http://schemas.openxmlformats.org/spreadsheetml/2006/main" count="70" uniqueCount="64">
  <si>
    <t>no</t>
  </si>
  <si>
    <t>bulan</t>
  </si>
  <si>
    <t>acara utama</t>
  </si>
  <si>
    <t>acara pendukung</t>
  </si>
  <si>
    <t>acara tambahan</t>
  </si>
  <si>
    <t>Muharram</t>
  </si>
  <si>
    <t>Shafar</t>
  </si>
  <si>
    <t>Rabiul Awwal</t>
  </si>
  <si>
    <t>Rabiul Akhir</t>
  </si>
  <si>
    <t>Jumadil Awwal</t>
  </si>
  <si>
    <t>Jumadil Akhir</t>
  </si>
  <si>
    <t>Rajab</t>
  </si>
  <si>
    <t>Sya'ban</t>
  </si>
  <si>
    <t>Dzulkaidah</t>
  </si>
  <si>
    <t>Ramadhan</t>
  </si>
  <si>
    <t>Syawal</t>
  </si>
  <si>
    <t>Dzulhijjah</t>
  </si>
  <si>
    <t>tabligh akbar tahun baru</t>
  </si>
  <si>
    <t>pawai alegoris</t>
  </si>
  <si>
    <t>pawai obor</t>
  </si>
  <si>
    <t>tabligh akbar isra mi'raj</t>
  </si>
  <si>
    <t>penyelenggaraan shalat tasbih</t>
  </si>
  <si>
    <t>lomba islami</t>
  </si>
  <si>
    <t>munggahan menyambut ramadhan</t>
  </si>
  <si>
    <t>bukber</t>
  </si>
  <si>
    <t>bagi takjil gratis</t>
  </si>
  <si>
    <t>taraweh berjamaah</t>
  </si>
  <si>
    <t>Nuzulul quran</t>
  </si>
  <si>
    <t>membaca al-quran bergantian</t>
  </si>
  <si>
    <t>lailatul qodar</t>
  </si>
  <si>
    <t>itikaf 10 hari terakhir</t>
  </si>
  <si>
    <t>idul fitri</t>
  </si>
  <si>
    <t>pengelolaan zakat fitri</t>
  </si>
  <si>
    <t>idul adha</t>
  </si>
  <si>
    <t>perencanaan shalat idul fitri</t>
  </si>
  <si>
    <t>penyembelihan hewan qurban</t>
  </si>
  <si>
    <t>tabligh akbar maulid nabi muhammad saw</t>
  </si>
  <si>
    <t>waktu</t>
  </si>
  <si>
    <t>tempat</t>
  </si>
  <si>
    <t>tanggal</t>
  </si>
  <si>
    <t>peserta</t>
  </si>
  <si>
    <t>anak sd</t>
  </si>
  <si>
    <t>acara</t>
  </si>
  <si>
    <t>umum</t>
  </si>
  <si>
    <t>desa neglasari</t>
  </si>
  <si>
    <t>lomba tingkat</t>
  </si>
  <si>
    <t>dusun cipariuk</t>
  </si>
  <si>
    <t>keterangan</t>
  </si>
  <si>
    <t>masjid dkm2</t>
  </si>
  <si>
    <t>DKM 2</t>
  </si>
  <si>
    <t>lomba mtq anak</t>
  </si>
  <si>
    <t>lomba pidato anak</t>
  </si>
  <si>
    <t>lomba cerdas cermat anak</t>
  </si>
  <si>
    <t>lomba cerdas cermat anak desa</t>
  </si>
  <si>
    <t>lomba pidato umum</t>
  </si>
  <si>
    <t>lomba mtq umum</t>
  </si>
  <si>
    <t>lomba cerdas cermat umum</t>
  </si>
  <si>
    <t>untuk peserta remaja &amp; dewasa</t>
  </si>
  <si>
    <t>jumlah acara</t>
  </si>
  <si>
    <t>pembagian hewan qurban</t>
  </si>
  <si>
    <t>belum</t>
  </si>
  <si>
    <t>perencanaan shalat idul adha &amp; qurban</t>
  </si>
  <si>
    <t>sodaqoh ke mustahik zakat</t>
  </si>
  <si>
    <t>taraweh keliling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</si>
</sst>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F800]dddd\,\ mmmm\ dd\,\ yyyy"/>
    <numFmt numFmtId="165" formatCode="&quot;H- &quot;"/>
    <numFmt numFmtId="166" formatCode="&quot;H-&quot;0"/>
    <numFmt numFmtId="167" formatCode="0\ &quot;acara&quot;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164" fontId="0" fillId="0" borderId="1" xfId="0" applyNumberFormat="1" applyBorder="1"/>
    <xf numFmtId="164" fontId="0" fillId="0" borderId="0" xfId="0" applyNumberFormat="1"/>
    <xf numFmtId="165" fontId="0" fillId="0" borderId="1" xfId="0" applyNumberFormat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166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/>
    <xf numFmtId="166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166" fontId="0" fillId="3" borderId="2" xfId="0" applyNumberForma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7" fontId="0" fillId="0" borderId="4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I20" sqref="I20"/>
    </sheetView>
  </sheetViews>
  <sheetFormatPr defaultRowHeight="15" x14ac:dyDescent="0.25"/>
  <cols>
    <col min="1" max="1" width="14.42578125" bestFit="1" customWidth="1"/>
    <col min="2" max="2" width="3.28515625" style="30" bestFit="1" customWidth="1"/>
    <col min="3" max="3" width="39.140625" bestFit="1" customWidth="1"/>
    <col min="4" max="4" width="24.42578125" bestFit="1" customWidth="1"/>
    <col min="5" max="5" width="28" bestFit="1" customWidth="1"/>
    <col min="6" max="6" width="3.28515625" bestFit="1" customWidth="1"/>
  </cols>
  <sheetData>
    <row r="1" spans="1:5" x14ac:dyDescent="0.25">
      <c r="A1" s="1" t="s">
        <v>1</v>
      </c>
      <c r="B1" s="28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s="41" t="s">
        <v>5</v>
      </c>
      <c r="B2" s="29">
        <v>1</v>
      </c>
      <c r="C2" s="2" t="s">
        <v>17</v>
      </c>
      <c r="D2" s="2" t="s">
        <v>19</v>
      </c>
      <c r="E2" s="2" t="s">
        <v>62</v>
      </c>
    </row>
    <row r="3" spans="1:5" x14ac:dyDescent="0.25">
      <c r="A3" s="41"/>
      <c r="B3" s="29">
        <v>2</v>
      </c>
      <c r="C3" s="2"/>
      <c r="D3" s="2" t="s">
        <v>22</v>
      </c>
      <c r="E3" s="2" t="s">
        <v>18</v>
      </c>
    </row>
    <row r="4" spans="1:5" x14ac:dyDescent="0.25">
      <c r="A4" s="36" t="s">
        <v>6</v>
      </c>
      <c r="B4" s="32"/>
      <c r="C4" s="31"/>
      <c r="D4" s="31"/>
      <c r="E4" s="31"/>
    </row>
    <row r="5" spans="1:5" x14ac:dyDescent="0.25">
      <c r="A5" s="37" t="s">
        <v>7</v>
      </c>
      <c r="B5" s="29">
        <v>1</v>
      </c>
      <c r="C5" s="2" t="s">
        <v>36</v>
      </c>
      <c r="D5" s="2" t="s">
        <v>22</v>
      </c>
      <c r="E5" s="2"/>
    </row>
    <row r="6" spans="1:5" x14ac:dyDescent="0.25">
      <c r="A6" s="36" t="s">
        <v>8</v>
      </c>
      <c r="B6" s="32"/>
      <c r="C6" s="31"/>
      <c r="D6" s="31"/>
      <c r="E6" s="31"/>
    </row>
    <row r="7" spans="1:5" x14ac:dyDescent="0.25">
      <c r="A7" s="37" t="s">
        <v>9</v>
      </c>
      <c r="B7" s="29">
        <v>1</v>
      </c>
      <c r="C7" s="2" t="str">
        <f>E2</f>
        <v>sodaqoh ke mustahik zakat</v>
      </c>
      <c r="D7" s="2"/>
      <c r="E7" s="2"/>
    </row>
    <row r="8" spans="1:5" x14ac:dyDescent="0.25">
      <c r="A8" s="36" t="s">
        <v>10</v>
      </c>
      <c r="B8" s="32"/>
      <c r="C8" s="31"/>
      <c r="D8" s="31"/>
      <c r="E8" s="31"/>
    </row>
    <row r="9" spans="1:5" x14ac:dyDescent="0.25">
      <c r="A9" s="37" t="s">
        <v>11</v>
      </c>
      <c r="B9" s="29">
        <v>1</v>
      </c>
      <c r="C9" s="2" t="s">
        <v>20</v>
      </c>
      <c r="D9" s="2"/>
      <c r="E9" s="2"/>
    </row>
    <row r="10" spans="1:5" x14ac:dyDescent="0.25">
      <c r="A10" s="42" t="s">
        <v>12</v>
      </c>
      <c r="B10" s="28">
        <v>1</v>
      </c>
      <c r="C10" s="1" t="s">
        <v>21</v>
      </c>
      <c r="D10" s="1"/>
      <c r="E10" s="1"/>
    </row>
    <row r="11" spans="1:5" x14ac:dyDescent="0.25">
      <c r="A11" s="42"/>
      <c r="B11" s="28">
        <v>2</v>
      </c>
      <c r="C11" s="1" t="s">
        <v>23</v>
      </c>
      <c r="D11" s="1"/>
      <c r="E11" s="1"/>
    </row>
    <row r="12" spans="1:5" x14ac:dyDescent="0.25">
      <c r="A12" s="41" t="s">
        <v>14</v>
      </c>
      <c r="B12" s="29">
        <v>1</v>
      </c>
      <c r="C12" s="2" t="s">
        <v>24</v>
      </c>
      <c r="D12" s="2" t="s">
        <v>25</v>
      </c>
      <c r="E12" s="2" t="s">
        <v>26</v>
      </c>
    </row>
    <row r="13" spans="1:5" x14ac:dyDescent="0.25">
      <c r="A13" s="41"/>
      <c r="B13" s="29">
        <v>2</v>
      </c>
      <c r="C13" s="2" t="s">
        <v>27</v>
      </c>
      <c r="D13" s="2" t="s">
        <v>26</v>
      </c>
      <c r="E13" s="2" t="s">
        <v>28</v>
      </c>
    </row>
    <row r="14" spans="1:5" x14ac:dyDescent="0.25">
      <c r="A14" s="41"/>
      <c r="B14" s="29">
        <v>3</v>
      </c>
      <c r="C14" s="2" t="s">
        <v>29</v>
      </c>
      <c r="D14" s="2" t="s">
        <v>30</v>
      </c>
      <c r="E14" s="2" t="s">
        <v>28</v>
      </c>
    </row>
    <row r="15" spans="1:5" x14ac:dyDescent="0.25">
      <c r="A15" s="41"/>
      <c r="B15" s="29">
        <v>4</v>
      </c>
      <c r="C15" s="2" t="s">
        <v>32</v>
      </c>
      <c r="D15" s="2" t="s">
        <v>63</v>
      </c>
      <c r="E15" s="2"/>
    </row>
    <row r="16" spans="1:5" x14ac:dyDescent="0.25">
      <c r="A16" s="41"/>
      <c r="B16" s="29">
        <v>5</v>
      </c>
      <c r="C16" s="2" t="s">
        <v>34</v>
      </c>
      <c r="D16" s="2"/>
      <c r="E16" s="2"/>
    </row>
    <row r="17" spans="1:5" x14ac:dyDescent="0.25">
      <c r="A17" s="38" t="s">
        <v>15</v>
      </c>
      <c r="B17" s="28">
        <v>1</v>
      </c>
      <c r="C17" s="1" t="s">
        <v>31</v>
      </c>
      <c r="D17" s="1"/>
      <c r="E17" s="1"/>
    </row>
    <row r="18" spans="1:5" x14ac:dyDescent="0.25">
      <c r="A18" s="37" t="s">
        <v>13</v>
      </c>
      <c r="B18" s="29">
        <v>1</v>
      </c>
      <c r="C18" s="2" t="str">
        <f>C7</f>
        <v>sodaqoh ke mustahik zakat</v>
      </c>
      <c r="D18" s="2"/>
      <c r="E18" s="2"/>
    </row>
    <row r="19" spans="1:5" x14ac:dyDescent="0.25">
      <c r="A19" s="42" t="s">
        <v>16</v>
      </c>
      <c r="B19" s="28">
        <v>1</v>
      </c>
      <c r="C19" s="1" t="s">
        <v>61</v>
      </c>
      <c r="D19" s="1"/>
      <c r="E19" s="1"/>
    </row>
    <row r="20" spans="1:5" x14ac:dyDescent="0.25">
      <c r="A20" s="42"/>
      <c r="B20" s="28">
        <v>2</v>
      </c>
      <c r="C20" s="1" t="s">
        <v>33</v>
      </c>
      <c r="D20" s="1"/>
      <c r="E20" s="1"/>
    </row>
    <row r="21" spans="1:5" x14ac:dyDescent="0.25">
      <c r="A21" s="42"/>
      <c r="B21" s="28">
        <v>3</v>
      </c>
      <c r="C21" s="1" t="s">
        <v>35</v>
      </c>
      <c r="D21" s="1" t="s">
        <v>59</v>
      </c>
      <c r="E21" s="1"/>
    </row>
    <row r="22" spans="1:5" x14ac:dyDescent="0.25">
      <c r="A22" s="33"/>
      <c r="B22" s="34"/>
      <c r="C22" s="35"/>
      <c r="D22" s="35"/>
      <c r="E22" s="35"/>
    </row>
    <row r="23" spans="1:5" ht="15.75" thickBot="1" x14ac:dyDescent="0.3">
      <c r="A23" s="35"/>
      <c r="B23" s="34"/>
      <c r="C23" s="35"/>
      <c r="D23" s="35"/>
      <c r="E23" s="35"/>
    </row>
    <row r="24" spans="1:5" ht="15.75" thickBot="1" x14ac:dyDescent="0.3">
      <c r="A24" s="43" t="s">
        <v>58</v>
      </c>
      <c r="B24" s="44"/>
      <c r="C24" s="39">
        <f>COUNTA(C2:C22)</f>
        <v>16</v>
      </c>
      <c r="D24" s="39">
        <f t="shared" ref="D24:E24" si="0">COUNTA(D2:D22)</f>
        <v>8</v>
      </c>
      <c r="E24" s="40">
        <f t="shared" si="0"/>
        <v>5</v>
      </c>
    </row>
  </sheetData>
  <mergeCells count="5">
    <mergeCell ref="A2:A3"/>
    <mergeCell ref="A10:A11"/>
    <mergeCell ref="A12:A16"/>
    <mergeCell ref="A19:A21"/>
    <mergeCell ref="A24:B2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3" sqref="G3"/>
    </sheetView>
  </sheetViews>
  <sheetFormatPr defaultRowHeight="15" x14ac:dyDescent="0.25"/>
  <cols>
    <col min="1" max="1" width="3.28515625" bestFit="1" customWidth="1"/>
    <col min="2" max="2" width="13.140625" bestFit="1" customWidth="1"/>
    <col min="3" max="3" width="28.42578125" style="12" customWidth="1"/>
    <col min="4" max="4" width="7.7109375" bestFit="1" customWidth="1"/>
    <col min="5" max="5" width="14" bestFit="1" customWidth="1"/>
    <col min="6" max="6" width="6.42578125" style="8" bestFit="1" customWidth="1"/>
    <col min="7" max="7" width="24.7109375" style="5" bestFit="1" customWidth="1"/>
    <col min="8" max="8" width="12.140625" bestFit="1" customWidth="1"/>
    <col min="9" max="9" width="29.42578125" bestFit="1" customWidth="1"/>
  </cols>
  <sheetData>
    <row r="1" spans="1:9" x14ac:dyDescent="0.25">
      <c r="A1" s="1" t="s">
        <v>0</v>
      </c>
      <c r="B1" s="1" t="s">
        <v>1</v>
      </c>
      <c r="C1" s="10" t="s">
        <v>42</v>
      </c>
      <c r="D1" s="1" t="s">
        <v>40</v>
      </c>
      <c r="E1" s="1" t="s">
        <v>45</v>
      </c>
      <c r="F1" s="6" t="s">
        <v>37</v>
      </c>
      <c r="G1" s="4" t="s">
        <v>39</v>
      </c>
      <c r="H1" s="1" t="s">
        <v>38</v>
      </c>
      <c r="I1" s="3" t="s">
        <v>47</v>
      </c>
    </row>
    <row r="2" spans="1:9" ht="30" x14ac:dyDescent="0.25">
      <c r="A2" s="9">
        <v>1</v>
      </c>
      <c r="B2" s="45" t="str">
        <f>'proker phbi tahunan'!A5</f>
        <v>Rabiul Awwal</v>
      </c>
      <c r="C2" s="13" t="str">
        <f>'proker phbi tahunan'!C5</f>
        <v>tabligh akbar maulid nabi muhammad saw</v>
      </c>
      <c r="D2" s="14" t="s">
        <v>43</v>
      </c>
      <c r="E2" s="14"/>
      <c r="F2" s="15">
        <v>0</v>
      </c>
      <c r="G2" s="16">
        <v>45199</v>
      </c>
      <c r="H2" s="14" t="s">
        <v>48</v>
      </c>
      <c r="I2" s="18"/>
    </row>
    <row r="3" spans="1:9" x14ac:dyDescent="0.25">
      <c r="A3" s="9">
        <v>2</v>
      </c>
      <c r="B3" s="45"/>
      <c r="C3" s="13" t="s">
        <v>51</v>
      </c>
      <c r="D3" s="14" t="s">
        <v>41</v>
      </c>
      <c r="E3" s="14" t="s">
        <v>49</v>
      </c>
      <c r="F3" s="15">
        <v>0</v>
      </c>
      <c r="G3" s="16">
        <f>IF(F3="","",$G$2-F3)</f>
        <v>45199</v>
      </c>
      <c r="H3" s="17"/>
      <c r="I3" s="18"/>
    </row>
    <row r="4" spans="1:9" x14ac:dyDescent="0.25">
      <c r="A4" s="9">
        <v>3</v>
      </c>
      <c r="B4" s="45"/>
      <c r="C4" s="13" t="s">
        <v>50</v>
      </c>
      <c r="D4" s="14" t="str">
        <f t="shared" ref="D4:D6" si="0">D3</f>
        <v>anak sd</v>
      </c>
      <c r="E4" s="14" t="str">
        <f>E3</f>
        <v>DKM 2</v>
      </c>
      <c r="F4" s="15">
        <v>0</v>
      </c>
      <c r="G4" s="16">
        <f t="shared" ref="G4:G9" si="1">IF(F4="","",$G$2-F4)</f>
        <v>45199</v>
      </c>
      <c r="H4" s="17"/>
      <c r="I4" s="18"/>
    </row>
    <row r="5" spans="1:9" x14ac:dyDescent="0.25">
      <c r="A5" s="9">
        <v>4</v>
      </c>
      <c r="B5" s="45"/>
      <c r="C5" s="13" t="s">
        <v>52</v>
      </c>
      <c r="D5" s="14" t="str">
        <f t="shared" si="0"/>
        <v>anak sd</v>
      </c>
      <c r="E5" s="14" t="str">
        <f>E4</f>
        <v>DKM 2</v>
      </c>
      <c r="F5" s="15">
        <v>2</v>
      </c>
      <c r="G5" s="16">
        <f t="shared" si="1"/>
        <v>45197</v>
      </c>
      <c r="H5" s="17"/>
      <c r="I5" s="18"/>
    </row>
    <row r="6" spans="1:9" s="23" customFormat="1" x14ac:dyDescent="0.25">
      <c r="A6" s="9">
        <v>5</v>
      </c>
      <c r="B6" s="45"/>
      <c r="C6" s="14" t="s">
        <v>53</v>
      </c>
      <c r="D6" s="14" t="str">
        <f t="shared" si="0"/>
        <v>anak sd</v>
      </c>
      <c r="E6" s="14" t="s">
        <v>44</v>
      </c>
      <c r="F6" s="15">
        <v>3</v>
      </c>
      <c r="G6" s="16">
        <f t="shared" si="1"/>
        <v>45196</v>
      </c>
      <c r="H6" s="17"/>
      <c r="I6" s="18" t="s">
        <v>60</v>
      </c>
    </row>
    <row r="7" spans="1:9" x14ac:dyDescent="0.25">
      <c r="A7" s="9">
        <v>6</v>
      </c>
      <c r="B7" s="45"/>
      <c r="C7" s="13" t="s">
        <v>54</v>
      </c>
      <c r="D7" s="14" t="s">
        <v>43</v>
      </c>
      <c r="E7" s="14" t="s">
        <v>46</v>
      </c>
      <c r="F7" s="24"/>
      <c r="G7" s="25" t="str">
        <f t="shared" si="1"/>
        <v/>
      </c>
      <c r="H7" s="17"/>
      <c r="I7" s="18" t="s">
        <v>57</v>
      </c>
    </row>
    <row r="8" spans="1:9" x14ac:dyDescent="0.25">
      <c r="A8" s="19">
        <v>7</v>
      </c>
      <c r="B8" s="45"/>
      <c r="C8" s="13" t="s">
        <v>55</v>
      </c>
      <c r="D8" s="14" t="str">
        <f t="shared" ref="D8:D9" si="2">D7</f>
        <v>umum</v>
      </c>
      <c r="E8" s="14" t="str">
        <f>E7</f>
        <v>dusun cipariuk</v>
      </c>
      <c r="F8" s="24"/>
      <c r="G8" s="25" t="str">
        <f t="shared" si="1"/>
        <v/>
      </c>
      <c r="H8" s="17"/>
      <c r="I8" s="18" t="str">
        <f>I7</f>
        <v>untuk peserta remaja &amp; dewasa</v>
      </c>
    </row>
    <row r="9" spans="1:9" x14ac:dyDescent="0.25">
      <c r="A9" s="9">
        <v>8</v>
      </c>
      <c r="B9" s="45"/>
      <c r="C9" s="13" t="s">
        <v>56</v>
      </c>
      <c r="D9" s="14" t="str">
        <f t="shared" si="2"/>
        <v>umum</v>
      </c>
      <c r="E9" s="14" t="str">
        <f>E8</f>
        <v>dusun cipariuk</v>
      </c>
      <c r="F9" s="24"/>
      <c r="G9" s="25" t="str">
        <f t="shared" si="1"/>
        <v/>
      </c>
      <c r="H9" s="17"/>
      <c r="I9" s="18" t="str">
        <f>I8</f>
        <v>untuk peserta remaja &amp; dewasa</v>
      </c>
    </row>
    <row r="10" spans="1:9" x14ac:dyDescent="0.25">
      <c r="C10" s="20"/>
      <c r="D10" s="20"/>
      <c r="E10" s="20"/>
      <c r="F10" s="26"/>
      <c r="G10" s="27"/>
      <c r="H10" s="21"/>
      <c r="I10" s="22"/>
    </row>
    <row r="11" spans="1:9" x14ac:dyDescent="0.25">
      <c r="C11" s="11"/>
      <c r="D11" s="3"/>
      <c r="E11" s="3"/>
      <c r="F11" s="7"/>
    </row>
  </sheetData>
  <mergeCells count="1">
    <mergeCell ref="B2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proker phbi tahunan</vt:lpstr>
      <vt:lpstr>muharram</vt:lpstr>
      <vt:lpstr>rabiul awal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2023-08-31T10:33:54Z</dcterms:modified>
</cp:coreProperties>
</file>